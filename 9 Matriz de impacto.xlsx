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\Downloads\2025-2\Gest. de proyectos\09 Diag Causa Raiz y matrices\"/>
    </mc:Choice>
  </mc:AlternateContent>
  <xr:revisionPtr revIDLastSave="0" documentId="8_{04935405-EA39-4446-9E34-64D4F2938BE0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Matriz de riesgos" sheetId="3" r:id="rId1"/>
    <sheet name="Matriz impac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E12" i="2"/>
  <c r="E11" i="2"/>
  <c r="D4" i="2"/>
  <c r="E8" i="2"/>
  <c r="F10" i="2"/>
  <c r="F9" i="2"/>
  <c r="F6" i="2"/>
  <c r="E7" i="2"/>
  <c r="E5" i="2"/>
  <c r="D15" i="2"/>
  <c r="F13" i="2"/>
</calcChain>
</file>

<file path=xl/sharedStrings.xml><?xml version="1.0" encoding="utf-8"?>
<sst xmlns="http://schemas.openxmlformats.org/spreadsheetml/2006/main" count="366" uniqueCount="157">
  <si>
    <t>Evaluación de Riesgos del Proyecto</t>
  </si>
  <si>
    <t>ID del Proyecto</t>
  </si>
  <si>
    <t>Nombre del Proyecto</t>
  </si>
  <si>
    <t>Gerente del Proyecto</t>
  </si>
  <si>
    <t>Face check</t>
  </si>
  <si>
    <t>Antes de la Mitigación</t>
  </si>
  <si>
    <t>Después de la Mitigación</t>
  </si>
  <si>
    <t>REF / ID</t>
  </si>
  <si>
    <t>Actividad</t>
  </si>
  <si>
    <t>Riesgo</t>
  </si>
  <si>
    <t xml:space="preserve">Severidad del Riesgo
</t>
  </si>
  <si>
    <t>Probabilidad del Riesgo</t>
  </si>
  <si>
    <t>Nivel de Riesgo</t>
  </si>
  <si>
    <t>Mitigaciones / Advertencias / Remedios</t>
  </si>
  <si>
    <t>¿Aceptable para Continuar?</t>
  </si>
  <si>
    <t>RISK 
SEVERITY</t>
  </si>
  <si>
    <t>RISK LIKELIHOOD</t>
  </si>
  <si>
    <t>RISK 
LEVEL</t>
  </si>
  <si>
    <t>ACCEPTABLE 
TO PROCEED?</t>
  </si>
  <si>
    <t>Historias de usuario.</t>
  </si>
  <si>
    <t>Requerimientos incompletos o mal interpretados</t>
  </si>
  <si>
    <t>TOLERABLE</t>
  </si>
  <si>
    <t>PROBABLE</t>
  </si>
  <si>
    <t>LOW</t>
  </si>
  <si>
    <t>Validación y aprobación de cada historia antes de avanzar</t>
  </si>
  <si>
    <t>ACCEPTABLE</t>
  </si>
  <si>
    <t>IMPROBABLE</t>
  </si>
  <si>
    <t>YES</t>
  </si>
  <si>
    <t>Casos de uso.</t>
  </si>
  <si>
    <t>Omisión de escenarios importantes</t>
  </si>
  <si>
    <t>POSSIBLE</t>
  </si>
  <si>
    <t>MEDIUM</t>
  </si>
  <si>
    <t>Elaborar diagramas de flujo y revisarlos con el equipo.                                 Prototipado temprano para validar los casos</t>
  </si>
  <si>
    <t>NO</t>
  </si>
  <si>
    <t xml:space="preserve">Mockups </t>
  </si>
  <si>
    <t>Mockups que no reflejan las necesidades reales del usuario</t>
  </si>
  <si>
    <t>UNDESIRABLE</t>
  </si>
  <si>
    <t>HIGH</t>
  </si>
  <si>
    <t>Pruebas de usabilidad con un pequeño grupo de estudiantes</t>
  </si>
  <si>
    <t>Diagramas de arquitectura (cómo se conecta cámara, servidor y base de datos).</t>
  </si>
  <si>
    <t>Configuración incorrecta de la cámara o servidor</t>
  </si>
  <si>
    <t>INTOLERABLE</t>
  </si>
  <si>
    <t>EXTREME</t>
  </si>
  <si>
    <t>Revisar la arquitectura .
Usar estándares de comunicación seguros (HTTPS, cifrado).
Realizar pruebas piloto</t>
  </si>
  <si>
    <t>Diseño de la base de datos (tablas: estudiantes, rostros, asistencia).</t>
  </si>
  <si>
    <t>Riesgos de privacidad al almacenar rostros.                                     Pérdida de datos o relaciones incompletas</t>
  </si>
  <si>
    <t>Cifrar datos sensibles (fotos).
Minimizar datos biométricos almacenados usando vectores</t>
  </si>
  <si>
    <t>Prototipo del mockup de interfaz de usuario.</t>
  </si>
  <si>
    <t>Interfaz poco intuitiva que genere errores de operación</t>
  </si>
  <si>
    <t>Diseño responsive básico</t>
  </si>
  <si>
    <t>Módulo de registro de estudiantes con carga de fotografías.</t>
  </si>
  <si>
    <t>Imágenes de mala calidad que afecten el reconocimiento.        Procesamiento lento al subir o capturar imágenes</t>
  </si>
  <si>
    <t>Verificar calidad mínima de imagen (iluminación, enfoque)                               Mostrar advertencias al usuario si la captura no es adecuada</t>
  </si>
  <si>
    <t>Dataset de prueba</t>
  </si>
  <si>
    <t>Imágenes con mala calidad que afectan el entrenamiento.</t>
  </si>
  <si>
    <t>Revisar calidad mínima de fotos.</t>
  </si>
  <si>
    <t>Manual de usuario inicial.</t>
  </si>
  <si>
    <t>Manual incompleto o confuso.
Usuarios que no siguen instrucciones y operan mal el sistema</t>
  </si>
  <si>
    <t>Revisar y validar el contenido con un usuario real.</t>
  </si>
  <si>
    <t>Manual de usuario para docentes y administradores.</t>
  </si>
  <si>
    <t>Falta de capacitación adecuada.</t>
  </si>
  <si>
    <t>Realizar breve capacitación o video instructivo.</t>
  </si>
  <si>
    <t>implementación básica con OpenCV/face_recognition.</t>
  </si>
  <si>
    <t>Detección o reconocimiento poco preciso.
Errores por instalación incorrecta de dependencias.</t>
  </si>
  <si>
    <t>Probar diferentes parámetros y mejorar calidad de captura.
Documentar el entorno y versiones de librerías.</t>
  </si>
  <si>
    <t>Prueba piloto con un grupo reducido de estudiantes.</t>
  </si>
  <si>
    <t>Resultados inconsistentes por condiciones reales (iluminación, movimiento).</t>
  </si>
  <si>
    <t>Tener un plan alternativo manual en caso de fallos</t>
  </si>
  <si>
    <t>Reporte básico en Excel/CSV.</t>
  </si>
  <si>
    <t>Datos exportados de manera incompleta o errónea.</t>
  </si>
  <si>
    <t>Validar el formato con el usuario final.</t>
  </si>
  <si>
    <t>Almacenamiento en base de datos de entradas y salidas.</t>
  </si>
  <si>
    <t>Registros duplicados o inconsistentes.
Fallos de conexión con la base de datos.</t>
  </si>
  <si>
    <t>Evitar duplicados con claves únicas.</t>
  </si>
  <si>
    <t>Registro automático de asistencia.</t>
  </si>
  <si>
    <t>Estudiantes no detectados en tiempo real 
Saturación del sistema si varios entran a la vez.</t>
  </si>
  <si>
    <t>Mejorar la cámara o posicionamiento del equipo.
Procesamiento en cola para evitar congestión.</t>
  </si>
  <si>
    <t>Validación en diferentes condiciones de luz.</t>
  </si>
  <si>
    <t>Disminución de precisión en baja luz o luz intensa</t>
  </si>
  <si>
    <t>Probar en múltiples ambientes (interiores/exteriores). Ajustar posición y ángulo de la cámara.</t>
  </si>
  <si>
    <t>Pantalla de login para administrador/docente.</t>
  </si>
  <si>
    <t>Errores en la autenticación que bloqueen usuarios.</t>
  </si>
  <si>
    <t>Probar flujo de recuperación de contraseña.</t>
  </si>
  <si>
    <t xml:space="preserve">  Configuración en un servidor local o nube (ej: AWS, Azure).</t>
  </si>
  <si>
    <t xml:space="preserve">   Configuración incorrecta del         servidor.
   Exposición accidental de puertos o claves.</t>
  </si>
  <si>
    <t>Guardar claves/secretos en variables de entorno.</t>
  </si>
  <si>
    <t>Vista de asistencia en tiempo real.</t>
  </si>
  <si>
    <t>Retardo en actualización de datos.
Caída temporal del servidor.</t>
  </si>
  <si>
    <t>Optimizar consultas a la base de datos.
Probar carga con varios usuarios simultáneos</t>
  </si>
  <si>
    <t>Correcciones iniciales.</t>
  </si>
  <si>
    <t>No registrar adecuadamente los cambios.</t>
  </si>
  <si>
    <t>Documentar cada cambio realizado.</t>
  </si>
  <si>
    <t>Informe de confiabilidad (% de aciertos).</t>
  </si>
  <si>
    <t>Interpretación incorrecta del porcentaje de aciertos.</t>
  </si>
  <si>
    <t>Validar resultados con pruebas adicionales.</t>
  </si>
  <si>
    <t>Reportes visuales de asistencia.</t>
  </si>
  <si>
    <t>Errores por valores nulos o días sin asistencia.</t>
  </si>
  <si>
    <t>Mostrar mensajes de datos insuficientes.</t>
  </si>
  <si>
    <t>Seguridad básica (usuarios/contraseñas).</t>
  </si>
  <si>
    <t>Contraseñas débiles o repetidas.</t>
  </si>
  <si>
    <t>Requerir contraseñas fuertes.</t>
  </si>
  <si>
    <t>Acceso multiusuario.</t>
  </si>
  <si>
    <t>Permisos incorrectos entre administradores y docentes.</t>
  </si>
  <si>
    <t>Implementar gestión de roles y permisos.
Pruebas de concurrencia.</t>
  </si>
  <si>
    <t>velocidad de reconocimiento</t>
  </si>
  <si>
    <t>Retrasos en identificación en tiempo real.</t>
  </si>
  <si>
    <t>Optimizar embeddings y tamaño de imagen.</t>
  </si>
  <si>
    <t>Sistema operativo con todos los módulos (registro, reconocimiento, reportes).</t>
  </si>
  <si>
    <t>Incompatibilidad entre módulos.</t>
  </si>
  <si>
    <t>Pruebas de integración completas.</t>
  </si>
  <si>
    <t>Informe final técnico.</t>
  </si>
  <si>
    <t>Versiones desactualizadas del sistema en la documentación.</t>
  </si>
  <si>
    <t>Revisar el informe junto con el equipo.
Verificar que coincida con la versión final del sistema.</t>
  </si>
  <si>
    <t>Producto final: Sistema de asistencia por reconocimiento facial.</t>
  </si>
  <si>
    <t>Funcionalidades no completadas.</t>
  </si>
  <si>
    <t>Checklist final de todos los requisitos.</t>
  </si>
  <si>
    <t>Presentación final del proyecto.</t>
  </si>
  <si>
    <t>Fallas técnicas durante la demostración.</t>
  </si>
  <si>
    <t>Ensayo previo con el sistema real.</t>
  </si>
  <si>
    <t>MATRIZ DE IMPACTO</t>
  </si>
  <si>
    <t>PROBABILIDAD</t>
  </si>
  <si>
    <t>PORCENTAJE ASIGNADO
(1 al 100%)</t>
  </si>
  <si>
    <t>DISTRIBUCIÒN</t>
  </si>
  <si>
    <t>Retraso en la entrega del diseño de la interfaz de usuario (UI)</t>
  </si>
  <si>
    <t>Fallas técnicas en la integración de la base de datos</t>
  </si>
  <si>
    <t>Falta de experiencia del equipo en nuevas tecnologías</t>
  </si>
  <si>
    <t>Problemas de comunicación entre las partes interesadas</t>
  </si>
  <si>
    <t>Demoras en la aprobación por parte del cliente</t>
  </si>
  <si>
    <t>Riesgo de cambios frecuentes en los requisitos</t>
  </si>
  <si>
    <t>Problemas de compatibilidad entre plataformas</t>
  </si>
  <si>
    <t>Falta de recursos clave en el equipo</t>
  </si>
  <si>
    <t>Interrupciones en el suministro de tecnología necesaria</t>
  </si>
  <si>
    <t>Riesgo de fallos en la seguridad del sistema</t>
  </si>
  <si>
    <t>Desempeño insuficiente de proveedores externos</t>
  </si>
  <si>
    <t>Poca disponibilidad de usuarios para pruebas</t>
  </si>
  <si>
    <t>IMPACTO</t>
  </si>
  <si>
    <t>PORCENTAJE</t>
  </si>
  <si>
    <t>Bajo</t>
  </si>
  <si>
    <t>Medio</t>
  </si>
  <si>
    <t xml:space="preserve">Alto </t>
  </si>
  <si>
    <t>RIESGO</t>
  </si>
  <si>
    <t>Clasificación Matriz del Riesgo (Bajo, Medio, Alto), escala 1 al 25</t>
  </si>
  <si>
    <t>Clasificación Probabilidad(Bajo, Medio, Alto) Escala de 1 al 100%</t>
  </si>
  <si>
    <t>PORCENTAJE ASIGNADO DE LA PROBABILIDAD</t>
  </si>
  <si>
    <r>
      <t>Verde</t>
    </r>
    <r>
      <rPr>
        <sz val="11"/>
        <color theme="1"/>
        <rFont val="Calibri"/>
        <family val="2"/>
      </rPr>
      <t>: Riesgo bajo.</t>
    </r>
  </si>
  <si>
    <t>01 al 10</t>
  </si>
  <si>
    <t>01 al 19</t>
  </si>
  <si>
    <t>01 al 49 %</t>
  </si>
  <si>
    <r>
      <t>Amarillo</t>
    </r>
    <r>
      <rPr>
        <sz val="11"/>
        <color theme="1"/>
        <rFont val="Calibri"/>
        <family val="2"/>
      </rPr>
      <t>: Riesgo moderado.</t>
    </r>
  </si>
  <si>
    <t>11 al 15</t>
  </si>
  <si>
    <t>20 al 50</t>
  </si>
  <si>
    <t>50 al 79%</t>
  </si>
  <si>
    <t>Alto</t>
  </si>
  <si>
    <r>
      <t>Rojo</t>
    </r>
    <r>
      <rPr>
        <sz val="11"/>
        <color theme="1"/>
        <rFont val="Calibri"/>
        <family val="2"/>
      </rPr>
      <t>: Riesgo alto o crítico.</t>
    </r>
  </si>
  <si>
    <t>16 al 25</t>
  </si>
  <si>
    <t>51 al 100</t>
  </si>
  <si>
    <t>80 al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</si>
</sst>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2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6"/>
      <name val="Calibri"/>
      <family val="2"/>
    </font>
    <font>
      <b/>
      <sz val="14"/>
      <color theme="1"/>
      <name val="Calibri"/>
      <family val="2"/>
      <scheme val="minor"/>
    </font>
    <font>
      <b/>
      <sz val="26"/>
      <color rgb="FF001033"/>
      <name val="Century Gothic"/>
      <family val="1"/>
    </font>
    <font>
      <sz val="10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sz val="11"/>
      <color theme="1"/>
      <name val="Century Gothic"/>
      <family val="1"/>
    </font>
    <font>
      <sz val="14"/>
      <color theme="1"/>
      <name val="Century Gothic"/>
      <family val="1"/>
    </font>
    <font>
      <b/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theme="1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entury Gothic"/>
    </font>
    <font>
      <sz val="10"/>
      <color theme="1"/>
      <name val="Century Gothic"/>
    </font>
  </fonts>
  <fills count="2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6A49E"/>
        <bgColor rgb="FF2E75B5"/>
      </patternFill>
    </fill>
    <fill>
      <patternFill patternType="solid">
        <fgColor rgb="FFF6A49E"/>
        <bgColor rgb="FFD0CECE"/>
      </patternFill>
    </fill>
    <fill>
      <patternFill patternType="solid">
        <fgColor theme="0"/>
        <bgColor rgb="FFDEEAF6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A80B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/>
      <bottom style="thick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/>
      <diagonal/>
    </border>
    <border>
      <left/>
      <right style="medium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52">
    <xf numFmtId="0" fontId="0" fillId="0" borderId="0" xfId="0"/>
    <xf numFmtId="9" fontId="3" fillId="4" borderId="4" xfId="0" applyNumberFormat="1" applyFont="1" applyFill="1" applyBorder="1" applyAlignment="1">
      <alignment horizontal="center" vertical="center"/>
    </xf>
    <xf numFmtId="9" fontId="3" fillId="4" borderId="5" xfId="0" applyNumberFormat="1" applyFont="1" applyFill="1" applyBorder="1" applyAlignment="1">
      <alignment horizontal="center" vertical="center"/>
    </xf>
    <xf numFmtId="9" fontId="3" fillId="4" borderId="6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9" fontId="2" fillId="5" borderId="24" xfId="0" applyNumberFormat="1" applyFont="1" applyFill="1" applyBorder="1" applyAlignment="1">
      <alignment horizontal="center" vertical="top" wrapText="1"/>
    </xf>
    <xf numFmtId="0" fontId="0" fillId="0" borderId="25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7" xfId="0" applyBorder="1" applyAlignment="1">
      <alignment wrapText="1"/>
    </xf>
    <xf numFmtId="9" fontId="7" fillId="6" borderId="16" xfId="0" applyNumberFormat="1" applyFont="1" applyFill="1" applyBorder="1" applyAlignment="1">
      <alignment horizontal="center"/>
    </xf>
    <xf numFmtId="0" fontId="8" fillId="9" borderId="17" xfId="0" applyFont="1" applyFill="1" applyBorder="1"/>
    <xf numFmtId="9" fontId="7" fillId="8" borderId="18" xfId="0" applyNumberFormat="1" applyFont="1" applyFill="1" applyBorder="1" applyAlignment="1">
      <alignment horizontal="center"/>
    </xf>
    <xf numFmtId="0" fontId="8" fillId="2" borderId="19" xfId="0" applyFont="1" applyFill="1" applyBorder="1"/>
    <xf numFmtId="9" fontId="7" fillId="7" borderId="1" xfId="0" applyNumberFormat="1" applyFont="1" applyFill="1" applyBorder="1" applyAlignment="1">
      <alignment horizontal="center"/>
    </xf>
    <xf numFmtId="0" fontId="8" fillId="10" borderId="20" xfId="0" applyFont="1" applyFill="1" applyBorder="1"/>
    <xf numFmtId="0" fontId="8" fillId="9" borderId="1" xfId="0" applyFont="1" applyFill="1" applyBorder="1"/>
    <xf numFmtId="9" fontId="7" fillId="8" borderId="20" xfId="0" applyNumberFormat="1" applyFont="1" applyFill="1" applyBorder="1" applyAlignment="1">
      <alignment horizontal="center"/>
    </xf>
    <xf numFmtId="9" fontId="7" fillId="6" borderId="19" xfId="0" applyNumberFormat="1" applyFont="1" applyFill="1" applyBorder="1" applyAlignment="1">
      <alignment horizontal="center"/>
    </xf>
    <xf numFmtId="0" fontId="8" fillId="9" borderId="20" xfId="0" applyFont="1" applyFill="1" applyBorder="1"/>
    <xf numFmtId="9" fontId="7" fillId="6" borderId="21" xfId="0" applyNumberFormat="1" applyFont="1" applyFill="1" applyBorder="1" applyAlignment="1">
      <alignment horizontal="center"/>
    </xf>
    <xf numFmtId="0" fontId="8" fillId="2" borderId="22" xfId="0" applyFont="1" applyFill="1" applyBorder="1"/>
    <xf numFmtId="0" fontId="8" fillId="2" borderId="23" xfId="0" applyFont="1" applyFill="1" applyBorder="1"/>
    <xf numFmtId="0" fontId="0" fillId="0" borderId="1" xfId="0" applyBorder="1" applyAlignment="1">
      <alignment horizont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3" fillId="0" borderId="19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9" fontId="1" fillId="5" borderId="20" xfId="0" applyNumberFormat="1" applyFont="1" applyFill="1" applyBorder="1" applyAlignment="1">
      <alignment horizontal="center" vertical="top" wrapText="1"/>
    </xf>
    <xf numFmtId="9" fontId="1" fillId="5" borderId="20" xfId="0" applyNumberFormat="1" applyFont="1" applyFill="1" applyBorder="1" applyAlignment="1">
      <alignment horizontal="center" wrapText="1"/>
    </xf>
    <xf numFmtId="9" fontId="1" fillId="5" borderId="23" xfId="0" applyNumberFormat="1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2" fillId="2" borderId="28" xfId="0" applyFont="1" applyFill="1" applyBorder="1"/>
    <xf numFmtId="0" fontId="12" fillId="9" borderId="29" xfId="0" applyFont="1" applyFill="1" applyBorder="1"/>
    <xf numFmtId="0" fontId="12" fillId="10" borderId="30" xfId="0" applyFont="1" applyFill="1" applyBorder="1"/>
    <xf numFmtId="0" fontId="13" fillId="12" borderId="0" xfId="0" applyFont="1" applyFill="1" applyAlignment="1">
      <alignment vertical="center"/>
    </xf>
    <xf numFmtId="0" fontId="14" fillId="12" borderId="0" xfId="0" applyFont="1" applyFill="1" applyAlignment="1">
      <alignment horizontal="left" vertical="center" wrapText="1" indent="1"/>
    </xf>
    <xf numFmtId="0" fontId="14" fillId="0" borderId="0" xfId="0" applyFont="1" applyAlignment="1">
      <alignment horizontal="left" vertical="center" wrapText="1" indent="1"/>
    </xf>
    <xf numFmtId="0" fontId="15" fillId="0" borderId="32" xfId="0" applyFont="1" applyBorder="1"/>
    <xf numFmtId="0" fontId="16" fillId="13" borderId="33" xfId="0" applyFont="1" applyFill="1" applyBorder="1" applyAlignment="1">
      <alignment horizontal="left" vertical="center" wrapText="1" indent="1"/>
    </xf>
    <xf numFmtId="0" fontId="17" fillId="0" borderId="38" xfId="0" applyFont="1" applyBorder="1" applyAlignment="1">
      <alignment horizontal="left" vertical="center" wrapText="1" indent="1"/>
    </xf>
    <xf numFmtId="0" fontId="17" fillId="0" borderId="38" xfId="0" applyFont="1" applyBorder="1" applyAlignment="1">
      <alignment wrapText="1"/>
    </xf>
    <xf numFmtId="0" fontId="19" fillId="0" borderId="38" xfId="0" applyFont="1" applyBorder="1" applyAlignment="1">
      <alignment vertical="center"/>
    </xf>
    <xf numFmtId="0" fontId="0" fillId="0" borderId="0" xfId="0" applyAlignment="1">
      <alignment wrapText="1"/>
    </xf>
    <xf numFmtId="0" fontId="20" fillId="11" borderId="42" xfId="0" applyFont="1" applyFill="1" applyBorder="1" applyAlignment="1">
      <alignment horizontal="left" vertical="center" wrapText="1" indent="1"/>
    </xf>
    <xf numFmtId="0" fontId="20" fillId="11" borderId="42" xfId="0" applyFont="1" applyFill="1" applyBorder="1" applyAlignment="1">
      <alignment horizontal="left" vertical="top" wrapText="1" indent="1"/>
    </xf>
    <xf numFmtId="0" fontId="20" fillId="11" borderId="43" xfId="0" applyFont="1" applyFill="1" applyBorder="1" applyAlignment="1">
      <alignment horizontal="left" vertical="center" wrapText="1" indent="1"/>
    </xf>
    <xf numFmtId="0" fontId="20" fillId="11" borderId="44" xfId="0" applyFont="1" applyFill="1" applyBorder="1" applyAlignment="1">
      <alignment horizontal="left" vertical="center" wrapText="1" indent="1"/>
    </xf>
    <xf numFmtId="0" fontId="20" fillId="16" borderId="45" xfId="0" applyFont="1" applyFill="1" applyBorder="1" applyAlignment="1">
      <alignment horizontal="left" vertical="center" wrapText="1" indent="1"/>
    </xf>
    <xf numFmtId="0" fontId="20" fillId="16" borderId="46" xfId="0" applyFont="1" applyFill="1" applyBorder="1" applyAlignment="1">
      <alignment horizontal="center" vertical="center" wrapText="1"/>
    </xf>
    <xf numFmtId="0" fontId="20" fillId="11" borderId="47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wrapText="1"/>
    </xf>
    <xf numFmtId="0" fontId="20" fillId="16" borderId="47" xfId="0" applyFont="1" applyFill="1" applyBorder="1" applyAlignment="1">
      <alignment horizontal="center" vertical="center" wrapText="1"/>
    </xf>
    <xf numFmtId="0" fontId="14" fillId="17" borderId="48" xfId="0" applyFont="1" applyFill="1" applyBorder="1" applyAlignment="1">
      <alignment horizontal="left" vertical="center" wrapText="1" indent="1"/>
    </xf>
    <xf numFmtId="0" fontId="14" fillId="0" borderId="48" xfId="0" applyFont="1" applyBorder="1" applyAlignment="1">
      <alignment horizontal="left" vertical="center" wrapText="1" indent="1"/>
    </xf>
    <xf numFmtId="0" fontId="14" fillId="17" borderId="49" xfId="0" applyFont="1" applyFill="1" applyBorder="1" applyAlignment="1">
      <alignment horizontal="left" vertical="center" wrapText="1" indent="1"/>
    </xf>
    <xf numFmtId="0" fontId="19" fillId="17" borderId="50" xfId="0" applyFont="1" applyFill="1" applyBorder="1" applyAlignment="1">
      <alignment horizontal="left" vertical="center" wrapText="1" indent="1"/>
    </xf>
    <xf numFmtId="0" fontId="14" fillId="13" borderId="48" xfId="0" applyFont="1" applyFill="1" applyBorder="1" applyAlignment="1">
      <alignment horizontal="left" vertical="center" wrapText="1" indent="1"/>
    </xf>
    <xf numFmtId="0" fontId="14" fillId="13" borderId="49" xfId="0" applyFont="1" applyFill="1" applyBorder="1" applyAlignment="1">
      <alignment horizontal="left" vertical="center" wrapText="1" indent="1"/>
    </xf>
    <xf numFmtId="0" fontId="19" fillId="13" borderId="50" xfId="0" applyFont="1" applyFill="1" applyBorder="1" applyAlignment="1">
      <alignment horizontal="left" vertical="center" wrapText="1" indent="1"/>
    </xf>
    <xf numFmtId="0" fontId="22" fillId="0" borderId="52" xfId="0" applyFont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12" borderId="48" xfId="0" applyFont="1" applyFill="1" applyBorder="1" applyAlignment="1">
      <alignment horizontal="left" vertical="center" wrapText="1" indent="1"/>
    </xf>
    <xf numFmtId="0" fontId="14" fillId="18" borderId="48" xfId="0" applyFont="1" applyFill="1" applyBorder="1" applyAlignment="1">
      <alignment horizontal="left" vertical="center" wrapText="1" indent="1"/>
    </xf>
    <xf numFmtId="0" fontId="14" fillId="2" borderId="48" xfId="0" applyFont="1" applyFill="1" applyBorder="1" applyAlignment="1">
      <alignment horizontal="center" vertical="center" wrapText="1"/>
    </xf>
    <xf numFmtId="0" fontId="14" fillId="14" borderId="48" xfId="0" applyFont="1" applyFill="1" applyBorder="1" applyAlignment="1">
      <alignment horizontal="left" vertical="center" wrapText="1" indent="1"/>
    </xf>
    <xf numFmtId="0" fontId="14" fillId="11" borderId="48" xfId="0" applyFont="1" applyFill="1" applyBorder="1" applyAlignment="1">
      <alignment horizontal="left" vertical="center" wrapText="1" indent="1"/>
    </xf>
    <xf numFmtId="0" fontId="14" fillId="19" borderId="48" xfId="0" applyFont="1" applyFill="1" applyBorder="1" applyAlignment="1">
      <alignment horizontal="left" vertical="center" wrapText="1" indent="1"/>
    </xf>
    <xf numFmtId="0" fontId="14" fillId="10" borderId="48" xfId="0" applyFont="1" applyFill="1" applyBorder="1" applyAlignment="1">
      <alignment horizontal="center" vertical="center" wrapText="1"/>
    </xf>
    <xf numFmtId="0" fontId="14" fillId="20" borderId="48" xfId="0" applyFont="1" applyFill="1" applyBorder="1" applyAlignment="1">
      <alignment horizontal="left" vertical="center" wrapText="1" indent="1"/>
    </xf>
    <xf numFmtId="0" fontId="14" fillId="21" borderId="48" xfId="0" applyFont="1" applyFill="1" applyBorder="1" applyAlignment="1">
      <alignment horizontal="left" vertical="center" wrapText="1" indent="1"/>
    </xf>
    <xf numFmtId="0" fontId="14" fillId="10" borderId="48" xfId="0" applyFont="1" applyFill="1" applyBorder="1" applyAlignment="1">
      <alignment horizontal="left" vertical="center" wrapText="1" indent="1"/>
    </xf>
    <xf numFmtId="0" fontId="19" fillId="0" borderId="52" xfId="0" applyFont="1" applyBorder="1" applyAlignment="1">
      <alignment horizontal="center" vertical="center" wrapText="1"/>
    </xf>
    <xf numFmtId="0" fontId="14" fillId="17" borderId="53" xfId="0" applyFont="1" applyFill="1" applyBorder="1" applyAlignment="1">
      <alignment horizontal="left" vertical="center" wrapText="1" indent="1"/>
    </xf>
    <xf numFmtId="0" fontId="14" fillId="17" borderId="54" xfId="0" applyFont="1" applyFill="1" applyBorder="1" applyAlignment="1">
      <alignment horizontal="left" vertical="center" wrapText="1" indent="1"/>
    </xf>
    <xf numFmtId="0" fontId="19" fillId="17" borderId="55" xfId="0" applyFont="1" applyFill="1" applyBorder="1" applyAlignment="1">
      <alignment horizontal="left" vertical="center" wrapText="1" indent="1"/>
    </xf>
    <xf numFmtId="0" fontId="14" fillId="13" borderId="53" xfId="0" applyFont="1" applyFill="1" applyBorder="1" applyAlignment="1">
      <alignment horizontal="left" vertical="center" wrapText="1" indent="1"/>
    </xf>
    <xf numFmtId="0" fontId="14" fillId="13" borderId="54" xfId="0" applyFont="1" applyFill="1" applyBorder="1" applyAlignment="1">
      <alignment horizontal="left" vertical="center" wrapText="1" indent="1"/>
    </xf>
    <xf numFmtId="0" fontId="19" fillId="13" borderId="55" xfId="0" applyFont="1" applyFill="1" applyBorder="1" applyAlignment="1">
      <alignment horizontal="left" vertical="center" wrapText="1" indent="1"/>
    </xf>
    <xf numFmtId="0" fontId="19" fillId="0" borderId="57" xfId="0" applyFont="1" applyBorder="1" applyAlignment="1">
      <alignment horizontal="center" vertical="center" wrapText="1"/>
    </xf>
    <xf numFmtId="0" fontId="0" fillId="0" borderId="48" xfId="0" applyBorder="1"/>
    <xf numFmtId="0" fontId="14" fillId="17" borderId="58" xfId="0" applyFont="1" applyFill="1" applyBorder="1" applyAlignment="1">
      <alignment horizontal="left" vertical="center" wrapText="1" indent="1"/>
    </xf>
    <xf numFmtId="0" fontId="19" fillId="17" borderId="48" xfId="0" applyFont="1" applyFill="1" applyBorder="1" applyAlignment="1">
      <alignment horizontal="left" vertical="center" wrapText="1" indent="1"/>
    </xf>
    <xf numFmtId="0" fontId="19" fillId="17" borderId="58" xfId="0" applyFont="1" applyFill="1" applyBorder="1" applyAlignment="1">
      <alignment horizontal="left" vertical="center" wrapText="1" indent="1"/>
    </xf>
    <xf numFmtId="0" fontId="14" fillId="13" borderId="61" xfId="0" applyFont="1" applyFill="1" applyBorder="1" applyAlignment="1">
      <alignment horizontal="left" vertical="center" wrapText="1" indent="1"/>
    </xf>
    <xf numFmtId="0" fontId="19" fillId="13" borderId="48" xfId="0" applyFont="1" applyFill="1" applyBorder="1" applyAlignment="1">
      <alignment horizontal="left" vertical="center" wrapText="1" indent="1"/>
    </xf>
    <xf numFmtId="0" fontId="19" fillId="0" borderId="48" xfId="0" applyFont="1" applyBorder="1" applyAlignment="1">
      <alignment horizontal="center" vertical="center" wrapText="1"/>
    </xf>
    <xf numFmtId="0" fontId="14" fillId="13" borderId="58" xfId="0" applyFont="1" applyFill="1" applyBorder="1" applyAlignment="1">
      <alignment horizontal="left" vertical="center" wrapText="1" indent="1"/>
    </xf>
    <xf numFmtId="0" fontId="19" fillId="13" borderId="58" xfId="0" applyFont="1" applyFill="1" applyBorder="1" applyAlignment="1">
      <alignment horizontal="left" vertical="center" wrapText="1" indent="1"/>
    </xf>
    <xf numFmtId="0" fontId="19" fillId="0" borderId="53" xfId="0" applyFont="1" applyBorder="1" applyAlignment="1">
      <alignment horizontal="center" vertical="center" wrapText="1"/>
    </xf>
    <xf numFmtId="0" fontId="14" fillId="17" borderId="51" xfId="0" applyFont="1" applyFill="1" applyBorder="1" applyAlignment="1">
      <alignment horizontal="left" vertical="center" wrapText="1" indent="1"/>
    </xf>
    <xf numFmtId="0" fontId="14" fillId="0" borderId="48" xfId="0" applyFont="1" applyBorder="1" applyAlignment="1">
      <alignment horizontal="center" vertical="center" wrapText="1" indent="1"/>
    </xf>
    <xf numFmtId="0" fontId="14" fillId="0" borderId="61" xfId="0" applyFont="1" applyBorder="1" applyAlignment="1">
      <alignment horizontal="center" vertical="center" wrapText="1" indent="1"/>
    </xf>
    <xf numFmtId="0" fontId="14" fillId="0" borderId="53" xfId="0" applyFont="1" applyBorder="1" applyAlignment="1">
      <alignment horizontal="center" vertical="center" wrapText="1" indent="1"/>
    </xf>
    <xf numFmtId="0" fontId="14" fillId="0" borderId="51" xfId="0" applyFont="1" applyBorder="1" applyAlignment="1">
      <alignment horizontal="center" vertical="center" wrapText="1" indent="1"/>
    </xf>
    <xf numFmtId="0" fontId="24" fillId="0" borderId="3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3" fillId="0" borderId="51" xfId="0" applyFont="1" applyBorder="1" applyAlignment="1">
      <alignment horizontal="left" vertical="center" wrapText="1" indent="1"/>
    </xf>
    <xf numFmtId="0" fontId="23" fillId="0" borderId="0" xfId="0" applyFont="1" applyAlignment="1">
      <alignment horizontal="left" vertical="center"/>
    </xf>
    <xf numFmtId="0" fontId="24" fillId="0" borderId="51" xfId="0" applyFont="1" applyBorder="1" applyAlignment="1">
      <alignment horizontal="left" vertical="center" wrapText="1" indent="1"/>
    </xf>
    <xf numFmtId="0" fontId="23" fillId="0" borderId="59" xfId="0" applyFont="1" applyBorder="1" applyAlignment="1">
      <alignment horizontal="left" vertical="center" wrapText="1"/>
    </xf>
    <xf numFmtId="0" fontId="23" fillId="0" borderId="58" xfId="0" applyFont="1" applyBorder="1" applyAlignment="1">
      <alignment horizontal="left" vertical="center" wrapText="1"/>
    </xf>
    <xf numFmtId="0" fontId="23" fillId="0" borderId="58" xfId="0" applyFont="1" applyBorder="1" applyAlignment="1">
      <alignment horizontal="left" vertical="center"/>
    </xf>
    <xf numFmtId="0" fontId="23" fillId="0" borderId="61" xfId="0" applyFont="1" applyBorder="1" applyAlignment="1">
      <alignment horizontal="left" vertical="center" wrapText="1"/>
    </xf>
    <xf numFmtId="0" fontId="23" fillId="0" borderId="60" xfId="0" applyFont="1" applyBorder="1" applyAlignment="1">
      <alignment horizontal="left" vertical="center" wrapText="1"/>
    </xf>
    <xf numFmtId="0" fontId="23" fillId="0" borderId="53" xfId="0" applyFont="1" applyBorder="1" applyAlignment="1">
      <alignment horizontal="left" vertical="center"/>
    </xf>
    <xf numFmtId="0" fontId="23" fillId="0" borderId="48" xfId="0" applyFont="1" applyBorder="1" applyAlignment="1">
      <alignment horizontal="left" vertical="center" wrapText="1"/>
    </xf>
    <xf numFmtId="0" fontId="23" fillId="0" borderId="53" xfId="0" applyFont="1" applyBorder="1" applyAlignment="1">
      <alignment horizontal="left" vertical="center" wrapText="1"/>
    </xf>
    <xf numFmtId="0" fontId="23" fillId="0" borderId="51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0" fontId="23" fillId="0" borderId="48" xfId="0" applyFont="1" applyBorder="1" applyAlignment="1">
      <alignment horizontal="left" vertical="top" wrapText="1"/>
    </xf>
    <xf numFmtId="0" fontId="23" fillId="0" borderId="48" xfId="0" applyFont="1" applyBorder="1" applyAlignment="1">
      <alignment horizontal="left" vertical="top" wrapText="1" indent="1"/>
    </xf>
    <xf numFmtId="0" fontId="23" fillId="0" borderId="48" xfId="0" applyFont="1" applyBorder="1" applyAlignment="1">
      <alignment horizontal="left" vertical="center" wrapText="1" indent="1"/>
    </xf>
    <xf numFmtId="0" fontId="23" fillId="0" borderId="62" xfId="0" applyFont="1" applyBorder="1" applyAlignment="1">
      <alignment vertical="center" wrapText="1" indent="1"/>
    </xf>
    <xf numFmtId="0" fontId="23" fillId="0" borderId="56" xfId="0" applyFont="1" applyBorder="1" applyAlignment="1">
      <alignment horizontal="left" vertical="center" wrapText="1"/>
    </xf>
    <xf numFmtId="0" fontId="23" fillId="0" borderId="48" xfId="0" applyFont="1" applyBorder="1" applyAlignment="1">
      <alignment horizontal="left" vertical="top"/>
    </xf>
    <xf numFmtId="0" fontId="23" fillId="0" borderId="53" xfId="0" applyFont="1" applyBorder="1" applyAlignment="1">
      <alignment horizontal="left" vertical="top"/>
    </xf>
    <xf numFmtId="0" fontId="15" fillId="0" borderId="0" xfId="0" applyFont="1" applyAlignment="1">
      <alignment horizontal="left"/>
    </xf>
    <xf numFmtId="0" fontId="16" fillId="0" borderId="34" xfId="0" applyFont="1" applyBorder="1" applyAlignment="1">
      <alignment horizontal="left" vertical="center" wrapText="1" indent="1"/>
    </xf>
    <xf numFmtId="0" fontId="16" fillId="0" borderId="35" xfId="0" applyFont="1" applyBorder="1" applyAlignment="1">
      <alignment horizontal="left" vertical="center" wrapText="1" indent="1"/>
    </xf>
    <xf numFmtId="0" fontId="16" fillId="0" borderId="36" xfId="0" applyFont="1" applyBorder="1" applyAlignment="1">
      <alignment horizontal="left" vertical="center" wrapText="1" indent="1"/>
    </xf>
    <xf numFmtId="0" fontId="16" fillId="0" borderId="37" xfId="0" applyFont="1" applyBorder="1" applyAlignment="1">
      <alignment horizontal="left" vertical="center" wrapText="1" indent="1"/>
    </xf>
    <xf numFmtId="0" fontId="18" fillId="14" borderId="39" xfId="0" applyFont="1" applyFill="1" applyBorder="1" applyAlignment="1">
      <alignment horizontal="left" vertical="center" indent="1"/>
    </xf>
    <xf numFmtId="0" fontId="18" fillId="14" borderId="40" xfId="0" applyFont="1" applyFill="1" applyBorder="1" applyAlignment="1">
      <alignment horizontal="left" vertical="center" indent="1"/>
    </xf>
    <xf numFmtId="0" fontId="18" fillId="14" borderId="41" xfId="0" applyFont="1" applyFill="1" applyBorder="1" applyAlignment="1">
      <alignment horizontal="left" vertical="center" indent="1"/>
    </xf>
    <xf numFmtId="0" fontId="18" fillId="15" borderId="39" xfId="0" applyFont="1" applyFill="1" applyBorder="1" applyAlignment="1">
      <alignment horizontal="left" vertical="center" indent="1"/>
    </xf>
    <xf numFmtId="0" fontId="18" fillId="15" borderId="40" xfId="0" applyFont="1" applyFill="1" applyBorder="1" applyAlignment="1">
      <alignment horizontal="left" vertical="center" indent="1"/>
    </xf>
    <xf numFmtId="0" fontId="18" fillId="15" borderId="41" xfId="0" applyFont="1" applyFill="1" applyBorder="1" applyAlignment="1">
      <alignment horizontal="left" vertical="center" indent="1"/>
    </xf>
    <xf numFmtId="0" fontId="9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9" fontId="8" fillId="9" borderId="1" xfId="0" applyNumberFormat="1" applyFont="1" applyFill="1" applyBorder="1" applyAlignment="1">
      <alignment horizontal="center"/>
    </xf>
    <xf numFmtId="9" fontId="8" fillId="10" borderId="20" xfId="0" applyNumberFormat="1" applyFont="1" applyFill="1" applyBorder="1"/>
    <xf numFmtId="9" fontId="8" fillId="2" borderId="19" xfId="0" applyNumberFormat="1" applyFont="1" applyFill="1" applyBorder="1" applyAlignment="1">
      <alignment horizontal="center"/>
    </xf>
  </cellXfs>
  <cellStyles count="1">
    <cellStyle name="Normal" xfId="0" builtinId="0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053B-39FD-45DE-8080-62DC6F276747}">
  <dimension ref="A1:V35"/>
  <sheetViews>
    <sheetView zoomScale="85" zoomScaleNormal="85" workbookViewId="0">
      <selection activeCell="C7" sqref="C7"/>
    </sheetView>
  </sheetViews>
  <sheetFormatPr defaultColWidth="8.85546875" defaultRowHeight="15"/>
  <cols>
    <col min="1" max="1" width="3.28515625" customWidth="1"/>
    <col min="2" max="2" width="11.140625" customWidth="1"/>
    <col min="3" max="3" width="54" customWidth="1"/>
    <col min="4" max="4" width="31.7109375" customWidth="1"/>
    <col min="5" max="5" width="15.42578125" customWidth="1"/>
    <col min="6" max="6" width="13.85546875" customWidth="1"/>
    <col min="7" max="7" width="14.28515625" customWidth="1"/>
    <col min="8" max="8" width="36" customWidth="1"/>
    <col min="9" max="9" width="16.140625" customWidth="1"/>
    <col min="10" max="10" width="15.42578125" customWidth="1"/>
    <col min="11" max="11" width="10.85546875" customWidth="1"/>
    <col min="12" max="12" width="13.85546875" customWidth="1"/>
    <col min="13" max="13" width="3.28515625" customWidth="1"/>
    <col min="14" max="14" width="2.140625" customWidth="1"/>
    <col min="15" max="15" width="3.28515625" customWidth="1"/>
    <col min="16" max="16" width="13.85546875" customWidth="1"/>
    <col min="17" max="17" width="3.28515625" customWidth="1"/>
    <col min="18" max="18" width="13.85546875" customWidth="1"/>
    <col min="19" max="19" width="3.28515625" customWidth="1"/>
    <col min="20" max="20" width="10.85546875" customWidth="1"/>
    <col min="21" max="21" width="3.28515625" customWidth="1"/>
    <col min="22" max="22" width="13.85546875" customWidth="1"/>
    <col min="23" max="23" width="3.28515625" customWidth="1"/>
  </cols>
  <sheetData>
    <row r="1" spans="2:22" s="42" customFormat="1" ht="32.25">
      <c r="B1" s="40" t="s">
        <v>0</v>
      </c>
      <c r="C1" s="41"/>
      <c r="E1" s="41"/>
      <c r="F1" s="41"/>
      <c r="G1" s="41"/>
      <c r="I1" s="41"/>
    </row>
    <row r="2" spans="2:22" ht="15.75">
      <c r="B2" s="43" t="s">
        <v>1</v>
      </c>
      <c r="C2" s="43" t="s">
        <v>2</v>
      </c>
      <c r="D2" s="43"/>
      <c r="E2" s="43"/>
      <c r="F2" s="43"/>
      <c r="G2" s="43"/>
      <c r="H2" s="43"/>
      <c r="I2" s="128" t="s">
        <v>3</v>
      </c>
      <c r="J2" s="128"/>
      <c r="K2" s="128"/>
    </row>
    <row r="3" spans="2:22">
      <c r="B3" s="44"/>
      <c r="C3" s="129" t="s">
        <v>4</v>
      </c>
      <c r="D3" s="130"/>
      <c r="E3" s="130"/>
      <c r="F3" s="130"/>
      <c r="G3" s="130"/>
      <c r="H3" s="131"/>
      <c r="I3" s="129"/>
      <c r="J3" s="130"/>
      <c r="K3" s="132"/>
    </row>
    <row r="4" spans="2:22" ht="15.75" thickBot="1"/>
    <row r="5" spans="2:22" s="48" customFormat="1" ht="18.75" thickBot="1">
      <c r="B5" s="45"/>
      <c r="C5" s="45"/>
      <c r="D5" s="46"/>
      <c r="E5" s="133" t="s">
        <v>5</v>
      </c>
      <c r="F5" s="134"/>
      <c r="G5" s="135"/>
      <c r="H5" s="45"/>
      <c r="I5" s="136" t="s">
        <v>6</v>
      </c>
      <c r="J5" s="137"/>
      <c r="K5" s="138"/>
      <c r="L5" s="47"/>
    </row>
    <row r="6" spans="2:22" s="48" customFormat="1" ht="41.25" thickTop="1">
      <c r="B6" s="49" t="s">
        <v>7</v>
      </c>
      <c r="C6" s="49" t="s">
        <v>8</v>
      </c>
      <c r="D6" s="49" t="s">
        <v>9</v>
      </c>
      <c r="E6" s="50" t="s">
        <v>10</v>
      </c>
      <c r="F6" s="51" t="s">
        <v>11</v>
      </c>
      <c r="G6" s="52" t="s">
        <v>12</v>
      </c>
      <c r="H6" s="53" t="s">
        <v>13</v>
      </c>
      <c r="I6" s="50" t="s">
        <v>10</v>
      </c>
      <c r="J6" s="51" t="s">
        <v>11</v>
      </c>
      <c r="K6" s="52" t="s">
        <v>12</v>
      </c>
      <c r="L6" s="54" t="s">
        <v>14</v>
      </c>
      <c r="P6" s="55" t="s">
        <v>15</v>
      </c>
      <c r="Q6" s="56"/>
      <c r="R6" s="55" t="s">
        <v>16</v>
      </c>
      <c r="S6" s="56"/>
      <c r="T6" s="55" t="s">
        <v>17</v>
      </c>
      <c r="U6" s="56"/>
      <c r="V6" s="57" t="s">
        <v>18</v>
      </c>
    </row>
    <row r="7" spans="2:22" s="48" customFormat="1" ht="45.75" customHeight="1">
      <c r="B7" s="58">
        <v>1</v>
      </c>
      <c r="C7" s="96" t="s">
        <v>19</v>
      </c>
      <c r="D7" s="120" t="s">
        <v>20</v>
      </c>
      <c r="E7" s="58" t="s">
        <v>21</v>
      </c>
      <c r="F7" s="60" t="s">
        <v>22</v>
      </c>
      <c r="G7" s="61" t="s">
        <v>23</v>
      </c>
      <c r="H7" s="107" t="s">
        <v>24</v>
      </c>
      <c r="I7" s="62" t="s">
        <v>25</v>
      </c>
      <c r="J7" s="63" t="s">
        <v>26</v>
      </c>
      <c r="K7" s="64" t="s">
        <v>23</v>
      </c>
      <c r="L7" s="65" t="s">
        <v>27</v>
      </c>
      <c r="P7" s="59" t="s">
        <v>25</v>
      </c>
      <c r="Q7" s="66"/>
      <c r="R7" s="67" t="s">
        <v>26</v>
      </c>
      <c r="S7" s="66"/>
      <c r="T7" s="68" t="s">
        <v>23</v>
      </c>
      <c r="U7" s="66"/>
      <c r="V7" s="69" t="s">
        <v>27</v>
      </c>
    </row>
    <row r="8" spans="2:22" s="48" customFormat="1" ht="57.75" customHeight="1">
      <c r="B8" s="58">
        <v>2</v>
      </c>
      <c r="C8" s="97" t="s">
        <v>28</v>
      </c>
      <c r="D8" s="121" t="s">
        <v>29</v>
      </c>
      <c r="E8" s="95" t="s">
        <v>21</v>
      </c>
      <c r="F8" s="60" t="s">
        <v>30</v>
      </c>
      <c r="G8" s="61" t="s">
        <v>31</v>
      </c>
      <c r="H8" s="107" t="s">
        <v>32</v>
      </c>
      <c r="I8" s="62" t="s">
        <v>25</v>
      </c>
      <c r="J8" s="63" t="s">
        <v>26</v>
      </c>
      <c r="K8" s="64" t="s">
        <v>23</v>
      </c>
      <c r="L8" s="65" t="s">
        <v>27</v>
      </c>
      <c r="P8" s="70" t="s">
        <v>21</v>
      </c>
      <c r="Q8" s="66"/>
      <c r="R8" s="71" t="s">
        <v>30</v>
      </c>
      <c r="S8" s="66"/>
      <c r="T8" s="72" t="s">
        <v>31</v>
      </c>
      <c r="U8" s="66"/>
      <c r="V8" s="73" t="s">
        <v>33</v>
      </c>
    </row>
    <row r="9" spans="2:22" s="48" customFormat="1" ht="46.5" customHeight="1">
      <c r="B9" s="58">
        <v>3</v>
      </c>
      <c r="C9" s="96" t="s">
        <v>34</v>
      </c>
      <c r="D9" s="120" t="s">
        <v>35</v>
      </c>
      <c r="E9" s="58" t="s">
        <v>36</v>
      </c>
      <c r="F9" s="60" t="s">
        <v>22</v>
      </c>
      <c r="G9" s="61" t="s">
        <v>37</v>
      </c>
      <c r="H9" s="107" t="s">
        <v>38</v>
      </c>
      <c r="I9" s="62" t="s">
        <v>21</v>
      </c>
      <c r="J9" s="63" t="s">
        <v>26</v>
      </c>
      <c r="K9" s="64" t="s">
        <v>23</v>
      </c>
      <c r="L9" s="65" t="s">
        <v>27</v>
      </c>
      <c r="P9" s="71" t="s">
        <v>36</v>
      </c>
      <c r="Q9" s="66"/>
      <c r="R9" s="74" t="s">
        <v>22</v>
      </c>
      <c r="S9" s="66"/>
      <c r="T9" s="75" t="s">
        <v>37</v>
      </c>
      <c r="U9" s="66"/>
      <c r="V9" s="66"/>
    </row>
    <row r="10" spans="2:22" s="48" customFormat="1" ht="60.75" customHeight="1">
      <c r="B10" s="58">
        <v>4</v>
      </c>
      <c r="C10" s="96" t="s">
        <v>39</v>
      </c>
      <c r="D10" s="122" t="s">
        <v>40</v>
      </c>
      <c r="E10" s="58" t="s">
        <v>41</v>
      </c>
      <c r="F10" s="60" t="s">
        <v>22</v>
      </c>
      <c r="G10" s="61" t="s">
        <v>42</v>
      </c>
      <c r="H10" s="108" t="s">
        <v>43</v>
      </c>
      <c r="I10" s="62" t="s">
        <v>21</v>
      </c>
      <c r="J10" s="63" t="s">
        <v>30</v>
      </c>
      <c r="K10" s="64" t="s">
        <v>31</v>
      </c>
      <c r="L10" s="65" t="s">
        <v>27</v>
      </c>
      <c r="P10" s="74" t="s">
        <v>41</v>
      </c>
      <c r="Q10" s="66"/>
      <c r="R10" s="66"/>
      <c r="S10" s="66"/>
      <c r="T10" s="76" t="s">
        <v>42</v>
      </c>
      <c r="U10" s="66"/>
      <c r="V10" s="66"/>
    </row>
    <row r="11" spans="2:22" s="48" customFormat="1" ht="74.25" customHeight="1">
      <c r="B11" s="58">
        <v>5</v>
      </c>
      <c r="C11" s="96" t="s">
        <v>44</v>
      </c>
      <c r="D11" s="122" t="s">
        <v>45</v>
      </c>
      <c r="E11" s="58" t="s">
        <v>41</v>
      </c>
      <c r="F11" s="60" t="s">
        <v>22</v>
      </c>
      <c r="G11" s="61" t="s">
        <v>42</v>
      </c>
      <c r="H11" s="108" t="s">
        <v>46</v>
      </c>
      <c r="I11" s="62" t="s">
        <v>21</v>
      </c>
      <c r="J11" s="63" t="s">
        <v>26</v>
      </c>
      <c r="K11" s="64" t="s">
        <v>23</v>
      </c>
      <c r="L11" s="77" t="s">
        <v>27</v>
      </c>
    </row>
    <row r="12" spans="2:22" s="48" customFormat="1" ht="33" customHeight="1">
      <c r="B12" s="58">
        <v>6</v>
      </c>
      <c r="C12" s="96" t="s">
        <v>47</v>
      </c>
      <c r="D12" s="122" t="s">
        <v>48</v>
      </c>
      <c r="E12" s="58" t="s">
        <v>21</v>
      </c>
      <c r="F12" s="60" t="s">
        <v>22</v>
      </c>
      <c r="G12" s="61" t="s">
        <v>31</v>
      </c>
      <c r="H12" s="109" t="s">
        <v>49</v>
      </c>
      <c r="I12" s="62" t="s">
        <v>25</v>
      </c>
      <c r="J12" s="63" t="s">
        <v>26</v>
      </c>
      <c r="K12" s="64" t="s">
        <v>23</v>
      </c>
      <c r="L12" s="77" t="s">
        <v>27</v>
      </c>
    </row>
    <row r="13" spans="2:22" s="48" customFormat="1" ht="63" customHeight="1">
      <c r="B13" s="58">
        <v>7</v>
      </c>
      <c r="C13" s="96" t="s">
        <v>50</v>
      </c>
      <c r="D13" s="122" t="s">
        <v>51</v>
      </c>
      <c r="E13" s="58" t="s">
        <v>36</v>
      </c>
      <c r="F13" s="60" t="s">
        <v>22</v>
      </c>
      <c r="G13" s="61" t="s">
        <v>37</v>
      </c>
      <c r="H13" s="107" t="s">
        <v>52</v>
      </c>
      <c r="I13" s="62" t="s">
        <v>21</v>
      </c>
      <c r="J13" s="63" t="s">
        <v>26</v>
      </c>
      <c r="K13" s="64" t="s">
        <v>23</v>
      </c>
      <c r="L13" s="77" t="s">
        <v>27</v>
      </c>
    </row>
    <row r="14" spans="2:22" s="48" customFormat="1" ht="33" customHeight="1">
      <c r="B14" s="58">
        <v>8</v>
      </c>
      <c r="C14" s="96" t="s">
        <v>53</v>
      </c>
      <c r="D14" s="120" t="s">
        <v>54</v>
      </c>
      <c r="E14" s="58" t="s">
        <v>21</v>
      </c>
      <c r="F14" s="60" t="s">
        <v>30</v>
      </c>
      <c r="G14" s="61" t="s">
        <v>31</v>
      </c>
      <c r="H14" s="107" t="s">
        <v>55</v>
      </c>
      <c r="I14" s="62" t="s">
        <v>25</v>
      </c>
      <c r="J14" s="63" t="s">
        <v>26</v>
      </c>
      <c r="K14" s="64" t="s">
        <v>23</v>
      </c>
      <c r="L14" s="77" t="s">
        <v>27</v>
      </c>
    </row>
    <row r="15" spans="2:22" s="48" customFormat="1" ht="66.75" customHeight="1">
      <c r="B15" s="58">
        <v>9</v>
      </c>
      <c r="C15" s="96" t="s">
        <v>56</v>
      </c>
      <c r="D15" s="122" t="s">
        <v>57</v>
      </c>
      <c r="E15" s="58" t="s">
        <v>25</v>
      </c>
      <c r="F15" s="60" t="s">
        <v>30</v>
      </c>
      <c r="G15" s="61" t="s">
        <v>23</v>
      </c>
      <c r="H15" s="110" t="s">
        <v>58</v>
      </c>
      <c r="I15" s="62" t="s">
        <v>25</v>
      </c>
      <c r="J15" s="63" t="s">
        <v>26</v>
      </c>
      <c r="K15" s="64" t="s">
        <v>23</v>
      </c>
      <c r="L15" s="77" t="s">
        <v>27</v>
      </c>
    </row>
    <row r="16" spans="2:22" s="48" customFormat="1" ht="33" customHeight="1">
      <c r="B16" s="58">
        <v>10</v>
      </c>
      <c r="C16" s="96" t="s">
        <v>59</v>
      </c>
      <c r="D16" s="122" t="s">
        <v>60</v>
      </c>
      <c r="E16" s="58" t="s">
        <v>21</v>
      </c>
      <c r="F16" s="60" t="s">
        <v>30</v>
      </c>
      <c r="G16" s="61" t="s">
        <v>31</v>
      </c>
      <c r="H16" s="110" t="s">
        <v>61</v>
      </c>
      <c r="I16" s="62" t="s">
        <v>25</v>
      </c>
      <c r="J16" s="63" t="s">
        <v>26</v>
      </c>
      <c r="K16" s="64" t="s">
        <v>23</v>
      </c>
      <c r="L16" s="77" t="s">
        <v>27</v>
      </c>
    </row>
    <row r="17" spans="2:12" s="48" customFormat="1" ht="72.75" customHeight="1">
      <c r="B17" s="58">
        <v>11</v>
      </c>
      <c r="C17" s="96" t="s">
        <v>62</v>
      </c>
      <c r="D17" s="122" t="s">
        <v>63</v>
      </c>
      <c r="E17" s="58" t="s">
        <v>36</v>
      </c>
      <c r="F17" s="60" t="s">
        <v>22</v>
      </c>
      <c r="G17" s="61" t="s">
        <v>37</v>
      </c>
      <c r="H17" s="110" t="s">
        <v>64</v>
      </c>
      <c r="I17" s="62" t="s">
        <v>21</v>
      </c>
      <c r="J17" s="63" t="s">
        <v>30</v>
      </c>
      <c r="K17" s="64" t="s">
        <v>31</v>
      </c>
      <c r="L17" s="77" t="s">
        <v>27</v>
      </c>
    </row>
    <row r="18" spans="2:12" s="48" customFormat="1" ht="50.25" customHeight="1">
      <c r="B18" s="58">
        <v>12</v>
      </c>
      <c r="C18" s="96" t="s">
        <v>65</v>
      </c>
      <c r="D18" s="123" t="s">
        <v>66</v>
      </c>
      <c r="E18" s="58" t="s">
        <v>21</v>
      </c>
      <c r="F18" s="60" t="s">
        <v>30</v>
      </c>
      <c r="G18" s="61" t="s">
        <v>31</v>
      </c>
      <c r="H18" s="110" t="s">
        <v>67</v>
      </c>
      <c r="I18" s="62" t="s">
        <v>25</v>
      </c>
      <c r="J18" s="63" t="s">
        <v>26</v>
      </c>
      <c r="K18" s="64" t="s">
        <v>23</v>
      </c>
      <c r="L18" s="77" t="s">
        <v>27</v>
      </c>
    </row>
    <row r="19" spans="2:12" s="48" customFormat="1" ht="33" customHeight="1">
      <c r="B19" s="58">
        <v>13</v>
      </c>
      <c r="C19" s="96" t="s">
        <v>68</v>
      </c>
      <c r="D19" s="123" t="s">
        <v>69</v>
      </c>
      <c r="E19" s="58" t="s">
        <v>25</v>
      </c>
      <c r="F19" s="60" t="s">
        <v>30</v>
      </c>
      <c r="G19" s="61" t="s">
        <v>23</v>
      </c>
      <c r="H19" s="107" t="s">
        <v>70</v>
      </c>
      <c r="I19" s="62" t="s">
        <v>25</v>
      </c>
      <c r="J19" s="63" t="s">
        <v>26</v>
      </c>
      <c r="K19" s="64" t="s">
        <v>23</v>
      </c>
      <c r="L19" s="77" t="s">
        <v>27</v>
      </c>
    </row>
    <row r="20" spans="2:12" s="48" customFormat="1" ht="59.25" customHeight="1">
      <c r="B20" s="58">
        <v>14</v>
      </c>
      <c r="C20" s="96" t="s">
        <v>71</v>
      </c>
      <c r="D20" s="123" t="s">
        <v>72</v>
      </c>
      <c r="E20" s="58" t="s">
        <v>36</v>
      </c>
      <c r="F20" s="60" t="s">
        <v>30</v>
      </c>
      <c r="G20" s="61" t="s">
        <v>31</v>
      </c>
      <c r="H20" s="110" t="s">
        <v>73</v>
      </c>
      <c r="I20" s="62" t="s">
        <v>21</v>
      </c>
      <c r="J20" s="63" t="s">
        <v>26</v>
      </c>
      <c r="K20" s="64" t="s">
        <v>23</v>
      </c>
      <c r="L20" s="77" t="s">
        <v>27</v>
      </c>
    </row>
    <row r="21" spans="2:12" s="48" customFormat="1" ht="60" customHeight="1">
      <c r="B21" s="58">
        <v>15</v>
      </c>
      <c r="C21" s="96" t="s">
        <v>74</v>
      </c>
      <c r="D21" s="123" t="s">
        <v>75</v>
      </c>
      <c r="E21" s="58" t="s">
        <v>36</v>
      </c>
      <c r="F21" s="60" t="s">
        <v>22</v>
      </c>
      <c r="G21" s="61" t="s">
        <v>37</v>
      </c>
      <c r="H21" s="108" t="s">
        <v>76</v>
      </c>
      <c r="I21" s="62" t="s">
        <v>21</v>
      </c>
      <c r="J21" s="63" t="s">
        <v>30</v>
      </c>
      <c r="K21" s="64" t="s">
        <v>31</v>
      </c>
      <c r="L21" s="77" t="s">
        <v>27</v>
      </c>
    </row>
    <row r="22" spans="2:12" s="48" customFormat="1" ht="54.75" customHeight="1">
      <c r="B22" s="78">
        <v>16</v>
      </c>
      <c r="C22" s="98" t="s">
        <v>77</v>
      </c>
      <c r="D22" s="107" t="s">
        <v>78</v>
      </c>
      <c r="E22" s="78" t="s">
        <v>36</v>
      </c>
      <c r="F22" s="79" t="s">
        <v>30</v>
      </c>
      <c r="G22" s="80" t="s">
        <v>31</v>
      </c>
      <c r="H22" s="107" t="s">
        <v>79</v>
      </c>
      <c r="I22" s="81" t="s">
        <v>21</v>
      </c>
      <c r="J22" s="82" t="s">
        <v>30</v>
      </c>
      <c r="K22" s="83" t="s">
        <v>31</v>
      </c>
      <c r="L22" s="84" t="s">
        <v>27</v>
      </c>
    </row>
    <row r="23" spans="2:12" s="48" customFormat="1" ht="30">
      <c r="B23" s="78">
        <v>17</v>
      </c>
      <c r="C23" s="99" t="s">
        <v>80</v>
      </c>
      <c r="D23" s="124" t="s">
        <v>81</v>
      </c>
      <c r="E23" s="86" t="s">
        <v>36</v>
      </c>
      <c r="F23" s="86" t="s">
        <v>30</v>
      </c>
      <c r="G23" s="88" t="s">
        <v>31</v>
      </c>
      <c r="H23" s="107" t="s">
        <v>82</v>
      </c>
      <c r="I23" s="89" t="s">
        <v>21</v>
      </c>
      <c r="J23" s="92" t="s">
        <v>26</v>
      </c>
      <c r="K23" s="93" t="s">
        <v>23</v>
      </c>
      <c r="L23" s="94" t="s">
        <v>27</v>
      </c>
    </row>
    <row r="24" spans="2:12" ht="73.5">
      <c r="B24" s="78">
        <v>18</v>
      </c>
      <c r="C24" s="100" t="s">
        <v>83</v>
      </c>
      <c r="D24" s="115" t="s">
        <v>84</v>
      </c>
      <c r="E24" s="86" t="s">
        <v>41</v>
      </c>
      <c r="F24" s="86" t="s">
        <v>30</v>
      </c>
      <c r="G24" s="88" t="s">
        <v>37</v>
      </c>
      <c r="H24" s="111" t="s">
        <v>85</v>
      </c>
      <c r="I24" s="89" t="s">
        <v>21</v>
      </c>
      <c r="J24" s="92" t="s">
        <v>26</v>
      </c>
      <c r="K24" s="93" t="s">
        <v>23</v>
      </c>
      <c r="L24" s="94" t="s">
        <v>27</v>
      </c>
    </row>
    <row r="25" spans="2:12" ht="73.5">
      <c r="B25" s="78">
        <v>19</v>
      </c>
      <c r="C25" s="101" t="s">
        <v>86</v>
      </c>
      <c r="D25" s="118" t="s">
        <v>87</v>
      </c>
      <c r="E25" s="86" t="s">
        <v>21</v>
      </c>
      <c r="F25" s="86" t="s">
        <v>30</v>
      </c>
      <c r="G25" s="88" t="s">
        <v>31</v>
      </c>
      <c r="H25" s="112" t="s">
        <v>88</v>
      </c>
      <c r="I25" s="89" t="s">
        <v>21</v>
      </c>
      <c r="J25" s="92" t="s">
        <v>30</v>
      </c>
      <c r="K25" s="93" t="s">
        <v>31</v>
      </c>
      <c r="L25" s="94" t="s">
        <v>27</v>
      </c>
    </row>
    <row r="26" spans="2:12" ht="30">
      <c r="B26" s="78">
        <v>20</v>
      </c>
      <c r="C26" s="102" t="s">
        <v>89</v>
      </c>
      <c r="D26" s="125" t="s">
        <v>90</v>
      </c>
      <c r="E26" s="86" t="s">
        <v>25</v>
      </c>
      <c r="F26" s="86" t="s">
        <v>22</v>
      </c>
      <c r="G26" s="88" t="s">
        <v>23</v>
      </c>
      <c r="H26" s="112" t="s">
        <v>91</v>
      </c>
      <c r="I26" s="89" t="s">
        <v>25</v>
      </c>
      <c r="J26" s="92" t="s">
        <v>26</v>
      </c>
      <c r="K26" s="93" t="s">
        <v>23</v>
      </c>
      <c r="L26" s="94" t="s">
        <v>27</v>
      </c>
    </row>
    <row r="27" spans="2:12" ht="30">
      <c r="B27" s="78">
        <v>21</v>
      </c>
      <c r="C27" s="101" t="s">
        <v>92</v>
      </c>
      <c r="D27" s="112" t="s">
        <v>93</v>
      </c>
      <c r="E27" s="86" t="s">
        <v>21</v>
      </c>
      <c r="F27" s="86" t="s">
        <v>30</v>
      </c>
      <c r="G27" s="88" t="s">
        <v>31</v>
      </c>
      <c r="H27" s="114" t="s">
        <v>94</v>
      </c>
      <c r="I27" s="89" t="s">
        <v>21</v>
      </c>
      <c r="J27" s="92" t="s">
        <v>26</v>
      </c>
      <c r="K27" s="93" t="s">
        <v>23</v>
      </c>
      <c r="L27" s="94" t="s">
        <v>27</v>
      </c>
    </row>
    <row r="28" spans="2:12" ht="30">
      <c r="B28" s="78">
        <v>22</v>
      </c>
      <c r="C28" s="103" t="s">
        <v>95</v>
      </c>
      <c r="D28" s="111" t="s">
        <v>96</v>
      </c>
      <c r="E28" s="86" t="s">
        <v>25</v>
      </c>
      <c r="F28" s="86" t="s">
        <v>30</v>
      </c>
      <c r="G28" s="88" t="s">
        <v>23</v>
      </c>
      <c r="H28" s="115" t="s">
        <v>97</v>
      </c>
      <c r="I28" s="89" t="s">
        <v>25</v>
      </c>
      <c r="J28" s="92" t="s">
        <v>26</v>
      </c>
      <c r="K28" s="93" t="s">
        <v>23</v>
      </c>
      <c r="L28" s="94" t="s">
        <v>27</v>
      </c>
    </row>
    <row r="29" spans="2:12" ht="16.5">
      <c r="B29" s="78">
        <v>23</v>
      </c>
      <c r="C29" s="104" t="s">
        <v>98</v>
      </c>
      <c r="D29" s="113" t="s">
        <v>99</v>
      </c>
      <c r="E29" s="86" t="s">
        <v>36</v>
      </c>
      <c r="F29" s="86" t="s">
        <v>22</v>
      </c>
      <c r="G29" s="88" t="s">
        <v>37</v>
      </c>
      <c r="H29" s="116" t="s">
        <v>100</v>
      </c>
      <c r="I29" s="89" t="s">
        <v>21</v>
      </c>
      <c r="J29" s="92" t="s">
        <v>26</v>
      </c>
      <c r="K29" s="93" t="s">
        <v>23</v>
      </c>
      <c r="L29" s="94" t="s">
        <v>27</v>
      </c>
    </row>
    <row r="30" spans="2:12" ht="58.5">
      <c r="B30" s="78">
        <v>24</v>
      </c>
      <c r="C30" s="105" t="s">
        <v>101</v>
      </c>
      <c r="D30" s="117" t="s">
        <v>102</v>
      </c>
      <c r="E30" s="86" t="s">
        <v>21</v>
      </c>
      <c r="F30" s="86" t="s">
        <v>30</v>
      </c>
      <c r="G30" s="88" t="s">
        <v>31</v>
      </c>
      <c r="H30" s="117" t="s">
        <v>103</v>
      </c>
      <c r="I30" s="89" t="s">
        <v>21</v>
      </c>
      <c r="J30" s="92" t="s">
        <v>30</v>
      </c>
      <c r="K30" s="93" t="s">
        <v>31</v>
      </c>
      <c r="L30" s="94" t="s">
        <v>27</v>
      </c>
    </row>
    <row r="31" spans="2:12" ht="30">
      <c r="B31" s="78">
        <v>25</v>
      </c>
      <c r="C31" s="105" t="s">
        <v>104</v>
      </c>
      <c r="D31" s="121" t="s">
        <v>105</v>
      </c>
      <c r="E31" s="86" t="s">
        <v>36</v>
      </c>
      <c r="F31" s="86" t="s">
        <v>22</v>
      </c>
      <c r="G31" s="88" t="s">
        <v>37</v>
      </c>
      <c r="H31" s="117" t="s">
        <v>106</v>
      </c>
      <c r="I31" s="89" t="s">
        <v>21</v>
      </c>
      <c r="J31" s="92" t="s">
        <v>30</v>
      </c>
      <c r="K31" s="93" t="s">
        <v>31</v>
      </c>
      <c r="L31" s="94" t="s">
        <v>27</v>
      </c>
    </row>
    <row r="32" spans="2:12" ht="30">
      <c r="B32" s="78">
        <v>26</v>
      </c>
      <c r="C32" s="105" t="s">
        <v>107</v>
      </c>
      <c r="D32" s="126" t="s">
        <v>108</v>
      </c>
      <c r="E32" s="86" t="s">
        <v>41</v>
      </c>
      <c r="F32" s="86" t="s">
        <v>30</v>
      </c>
      <c r="G32" s="88" t="s">
        <v>37</v>
      </c>
      <c r="H32" s="117" t="s">
        <v>109</v>
      </c>
      <c r="I32" s="89" t="s">
        <v>21</v>
      </c>
      <c r="J32" s="92" t="s">
        <v>30</v>
      </c>
      <c r="K32" s="93" t="s">
        <v>31</v>
      </c>
      <c r="L32" s="94" t="s">
        <v>27</v>
      </c>
    </row>
    <row r="33" spans="1:12" ht="73.5">
      <c r="B33" s="78">
        <v>27</v>
      </c>
      <c r="C33" s="105" t="s">
        <v>110</v>
      </c>
      <c r="D33" s="121" t="s">
        <v>111</v>
      </c>
      <c r="E33" s="86" t="s">
        <v>25</v>
      </c>
      <c r="F33" s="86" t="s">
        <v>26</v>
      </c>
      <c r="G33" s="88" t="s">
        <v>23</v>
      </c>
      <c r="H33" s="117" t="s">
        <v>112</v>
      </c>
      <c r="I33" s="89" t="s">
        <v>25</v>
      </c>
      <c r="J33" s="92" t="s">
        <v>26</v>
      </c>
      <c r="K33" s="93" t="s">
        <v>23</v>
      </c>
      <c r="L33" s="94" t="s">
        <v>27</v>
      </c>
    </row>
    <row r="34" spans="1:12" ht="30">
      <c r="B34" s="78">
        <v>28</v>
      </c>
      <c r="C34" s="106" t="s">
        <v>113</v>
      </c>
      <c r="D34" s="127" t="s">
        <v>114</v>
      </c>
      <c r="E34" s="86" t="s">
        <v>41</v>
      </c>
      <c r="F34" s="86" t="s">
        <v>30</v>
      </c>
      <c r="G34" s="88" t="s">
        <v>37</v>
      </c>
      <c r="H34" s="118" t="s">
        <v>115</v>
      </c>
      <c r="I34" s="89" t="s">
        <v>21</v>
      </c>
      <c r="J34" s="92" t="s">
        <v>26</v>
      </c>
      <c r="K34" s="93" t="s">
        <v>23</v>
      </c>
      <c r="L34" s="94" t="s">
        <v>27</v>
      </c>
    </row>
    <row r="35" spans="1:12" ht="30">
      <c r="A35" s="85"/>
      <c r="B35" s="95">
        <v>29</v>
      </c>
      <c r="C35" s="102" t="s">
        <v>116</v>
      </c>
      <c r="D35" s="120" t="s">
        <v>117</v>
      </c>
      <c r="E35" s="58" t="s">
        <v>25</v>
      </c>
      <c r="F35" s="58" t="s">
        <v>26</v>
      </c>
      <c r="G35" s="87" t="s">
        <v>23</v>
      </c>
      <c r="H35" s="119" t="s">
        <v>118</v>
      </c>
      <c r="I35" s="89" t="s">
        <v>25</v>
      </c>
      <c r="J35" s="62" t="s">
        <v>26</v>
      </c>
      <c r="K35" s="90" t="s">
        <v>23</v>
      </c>
      <c r="L35" s="91" t="s">
        <v>27</v>
      </c>
    </row>
  </sheetData>
  <mergeCells count="5">
    <mergeCell ref="I2:K2"/>
    <mergeCell ref="C3:H3"/>
    <mergeCell ref="I3:K3"/>
    <mergeCell ref="E5:G5"/>
    <mergeCell ref="I5:K5"/>
  </mergeCells>
  <conditionalFormatting sqref="E7:E35 I7:I35">
    <cfRule type="containsText" dxfId="12" priority="10" operator="containsText" text="INTOLERABLE">
      <formula>NOT(ISERROR(SEARCH("INTOLERABLE",E7)))</formula>
    </cfRule>
    <cfRule type="containsText" dxfId="11" priority="11" operator="containsText" text="UNDESIRABLE">
      <formula>NOT(ISERROR(SEARCH("UNDESIRABLE",E7)))</formula>
    </cfRule>
    <cfRule type="containsText" dxfId="10" priority="12" operator="containsText" text="TOLERABLE">
      <formula>NOT(ISERROR(SEARCH("TOLERABLE",E7)))</formula>
    </cfRule>
    <cfRule type="containsText" dxfId="9" priority="13" operator="containsText" text="ACCEPTABLE">
      <formula>NOT(ISERROR(SEARCH("ACCEPTABLE",E7)))</formula>
    </cfRule>
  </conditionalFormatting>
  <conditionalFormatting sqref="F7:F35 J7:J35">
    <cfRule type="containsText" dxfId="8" priority="7" operator="containsText" text="POSSIBLE">
      <formula>NOT(ISERROR(SEARCH("POSSIBLE",F7)))</formula>
    </cfRule>
    <cfRule type="containsText" dxfId="7" priority="8" operator="containsText" text="IMPROBABLE">
      <formula>NOT(ISERROR(SEARCH("IMPROBABLE",F7)))</formula>
    </cfRule>
    <cfRule type="containsText" dxfId="6" priority="9" operator="containsText" text="PROBABLE">
      <formula>NOT(ISERROR(SEARCH("PROBABLE",F7)))</formula>
    </cfRule>
  </conditionalFormatting>
  <conditionalFormatting sqref="G7:G35 K7:K35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35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L7:L35" xr:uid="{DB6A1A14-CFDC-4876-A51D-9F84804B77B7}">
      <formula1>$V$7:$V$8</formula1>
    </dataValidation>
    <dataValidation type="list" allowBlank="1" showInputMessage="1" showErrorMessage="1" sqref="G7:G35 K7:K35" xr:uid="{7F52387A-9BE8-484A-947B-461945FC0B65}">
      <formula1>$T$7:$T$10</formula1>
    </dataValidation>
    <dataValidation type="list" allowBlank="1" showInputMessage="1" showErrorMessage="1" sqref="F7:F35 J7:J35" xr:uid="{D444F01E-F6D4-419D-9F7C-99C93FC20300}">
      <formula1>$R$7:$R$9</formula1>
    </dataValidation>
    <dataValidation type="list" allowBlank="1" showInputMessage="1" showErrorMessage="1" sqref="E7:E35 I7:I35" xr:uid="{152DAC4A-7E6E-4910-B395-ABE56108349C}">
      <formula1>$P$7:$P$10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2906-E0DE-49A1-B2D0-362E08D19B55}">
  <sheetPr>
    <tabColor theme="5" tint="0.59999389629810485"/>
  </sheetPr>
  <dimension ref="B1:F23"/>
  <sheetViews>
    <sheetView showGridLines="0" tabSelected="1" topLeftCell="A4" zoomScale="55" zoomScaleNormal="55" workbookViewId="0">
      <selection activeCell="E13" sqref="E13"/>
    </sheetView>
  </sheetViews>
  <sheetFormatPr defaultColWidth="11.42578125" defaultRowHeight="15"/>
  <cols>
    <col min="1" max="1" width="3" customWidth="1"/>
    <col min="2" max="2" width="55.5703125" customWidth="1"/>
    <col min="3" max="3" width="26.140625" customWidth="1"/>
    <col min="4" max="4" width="14.42578125" customWidth="1"/>
    <col min="5" max="5" width="15.5703125" customWidth="1"/>
    <col min="6" max="7" width="14.42578125" customWidth="1"/>
  </cols>
  <sheetData>
    <row r="1" spans="2:6" ht="15.75" thickBot="1"/>
    <row r="2" spans="2:6" ht="29.25" thickBot="1">
      <c r="B2" s="146" t="s">
        <v>119</v>
      </c>
      <c r="C2" s="147"/>
      <c r="D2" s="147"/>
      <c r="E2" s="147"/>
      <c r="F2" s="148"/>
    </row>
    <row r="3" spans="2:6" ht="41.1" customHeight="1" thickBot="1">
      <c r="B3" s="33" t="s">
        <v>120</v>
      </c>
      <c r="C3" s="34" t="s">
        <v>121</v>
      </c>
      <c r="D3" s="139" t="s">
        <v>122</v>
      </c>
      <c r="E3" s="140"/>
      <c r="F3" s="141"/>
    </row>
    <row r="4" spans="2:6" ht="15.6" customHeight="1">
      <c r="B4" s="8" t="s">
        <v>123</v>
      </c>
      <c r="C4" s="7">
        <v>0.05</v>
      </c>
      <c r="D4" s="11">
        <f>+$C$4*D16</f>
        <v>5.000000000000001E-3</v>
      </c>
      <c r="E4" s="12"/>
      <c r="F4" s="13"/>
    </row>
    <row r="5" spans="2:6" ht="15.6" customHeight="1">
      <c r="B5" s="9" t="s">
        <v>124</v>
      </c>
      <c r="C5" s="7">
        <v>0.3</v>
      </c>
      <c r="D5" s="14"/>
      <c r="E5" s="15">
        <f>+$C$5*E16</f>
        <v>0.15</v>
      </c>
      <c r="F5" s="16"/>
    </row>
    <row r="6" spans="2:6" ht="15.6" customHeight="1">
      <c r="B6" s="9" t="s">
        <v>125</v>
      </c>
      <c r="C6" s="7">
        <v>0.4</v>
      </c>
      <c r="D6" s="14"/>
      <c r="E6" s="17"/>
      <c r="F6" s="18">
        <f>+$C6*F16</f>
        <v>0.4</v>
      </c>
    </row>
    <row r="7" spans="2:6" ht="15.6" customHeight="1">
      <c r="B7" s="9" t="s">
        <v>126</v>
      </c>
      <c r="C7" s="7">
        <v>0.2</v>
      </c>
      <c r="D7" s="14"/>
      <c r="E7" s="15">
        <f>+$C$7*E16</f>
        <v>0.1</v>
      </c>
      <c r="F7" s="16"/>
    </row>
    <row r="8" spans="2:6" ht="15.6" customHeight="1">
      <c r="B8" s="9" t="s">
        <v>127</v>
      </c>
      <c r="C8" s="7">
        <v>0.25</v>
      </c>
      <c r="D8" s="14"/>
      <c r="E8" s="15">
        <f>+$C$8*E16</f>
        <v>0.125</v>
      </c>
      <c r="F8" s="16"/>
    </row>
    <row r="9" spans="2:6" ht="15.6" customHeight="1">
      <c r="B9" s="9" t="s">
        <v>128</v>
      </c>
      <c r="C9" s="7">
        <v>0.35</v>
      </c>
      <c r="D9" s="14"/>
      <c r="E9" s="17"/>
      <c r="F9" s="18">
        <f>+$C9*F16</f>
        <v>0.35</v>
      </c>
    </row>
    <row r="10" spans="2:6" ht="15.6" customHeight="1">
      <c r="B10" s="9" t="s">
        <v>129</v>
      </c>
      <c r="C10" s="7">
        <v>0.3</v>
      </c>
      <c r="D10" s="14"/>
      <c r="E10" s="17"/>
      <c r="F10" s="18">
        <f>+$C10*F16</f>
        <v>0.3</v>
      </c>
    </row>
    <row r="11" spans="2:6" ht="15.6" customHeight="1">
      <c r="B11" s="9" t="s">
        <v>130</v>
      </c>
      <c r="C11" s="7">
        <v>0.2</v>
      </c>
      <c r="D11" s="14"/>
      <c r="E11" s="149">
        <f>C11*E16</f>
        <v>0.1</v>
      </c>
      <c r="F11" s="18"/>
    </row>
    <row r="12" spans="2:6" ht="15.6" customHeight="1">
      <c r="B12" s="9" t="s">
        <v>131</v>
      </c>
      <c r="C12" s="7">
        <v>0.3</v>
      </c>
      <c r="D12" s="19"/>
      <c r="E12" s="149">
        <f>C12*E16</f>
        <v>0.15</v>
      </c>
      <c r="F12" s="150"/>
    </row>
    <row r="13" spans="2:6" ht="15.6" customHeight="1">
      <c r="B13" s="9" t="s">
        <v>132</v>
      </c>
      <c r="C13" s="7">
        <v>0.45</v>
      </c>
      <c r="D13" s="14"/>
      <c r="E13" s="17"/>
      <c r="F13" s="18">
        <f>+$C13*F16</f>
        <v>0.45</v>
      </c>
    </row>
    <row r="14" spans="2:6" ht="15.6" customHeight="1">
      <c r="B14" s="9" t="s">
        <v>133</v>
      </c>
      <c r="C14" s="7">
        <v>0.1</v>
      </c>
      <c r="D14" s="151">
        <f>C14*D16</f>
        <v>1.0000000000000002E-2</v>
      </c>
      <c r="E14" s="15"/>
      <c r="F14" s="20"/>
    </row>
    <row r="15" spans="2:6" ht="15.6" customHeight="1">
      <c r="B15" s="10" t="s">
        <v>134</v>
      </c>
      <c r="C15" s="7">
        <v>0.15</v>
      </c>
      <c r="D15" s="21">
        <f>+$C$15*D16</f>
        <v>1.4999999999999999E-2</v>
      </c>
      <c r="E15" s="22"/>
      <c r="F15" s="23"/>
    </row>
    <row r="16" spans="2:6">
      <c r="B16" s="142" t="s">
        <v>135</v>
      </c>
      <c r="C16" s="144" t="s">
        <v>136</v>
      </c>
      <c r="D16" s="1">
        <v>0.1</v>
      </c>
      <c r="E16" s="2">
        <v>0.5</v>
      </c>
      <c r="F16" s="3">
        <v>1</v>
      </c>
    </row>
    <row r="17" spans="2:6" ht="15.75" thickBot="1">
      <c r="B17" s="143"/>
      <c r="C17" s="145"/>
      <c r="D17" s="4" t="s">
        <v>137</v>
      </c>
      <c r="E17" s="5" t="s">
        <v>138</v>
      </c>
      <c r="F17" s="6" t="s">
        <v>139</v>
      </c>
    </row>
    <row r="19" spans="2:6" ht="15.75" thickBot="1"/>
    <row r="20" spans="2:6" ht="75.75" thickBot="1">
      <c r="B20" s="36" t="s">
        <v>122</v>
      </c>
      <c r="C20" s="35" t="s">
        <v>140</v>
      </c>
      <c r="D20" s="25" t="s">
        <v>141</v>
      </c>
      <c r="E20" s="25" t="s">
        <v>142</v>
      </c>
      <c r="F20" s="26" t="s">
        <v>143</v>
      </c>
    </row>
    <row r="21" spans="2:6" ht="18.75">
      <c r="B21" s="37" t="s">
        <v>137</v>
      </c>
      <c r="C21" s="28" t="s">
        <v>144</v>
      </c>
      <c r="D21" s="24" t="s">
        <v>145</v>
      </c>
      <c r="E21" s="24" t="s">
        <v>146</v>
      </c>
      <c r="F21" s="30" t="s">
        <v>147</v>
      </c>
    </row>
    <row r="22" spans="2:6" ht="18.75">
      <c r="B22" s="38" t="s">
        <v>138</v>
      </c>
      <c r="C22" s="28" t="s">
        <v>148</v>
      </c>
      <c r="D22" s="24" t="s">
        <v>149</v>
      </c>
      <c r="E22" s="24" t="s">
        <v>150</v>
      </c>
      <c r="F22" s="31" t="s">
        <v>151</v>
      </c>
    </row>
    <row r="23" spans="2:6" ht="19.5" thickBot="1">
      <c r="B23" s="39" t="s">
        <v>152</v>
      </c>
      <c r="C23" s="29" t="s">
        <v>153</v>
      </c>
      <c r="D23" s="27" t="s">
        <v>154</v>
      </c>
      <c r="E23" s="27" t="s">
        <v>155</v>
      </c>
      <c r="F23" s="32" t="s">
        <v>156</v>
      </c>
    </row>
  </sheetData>
  <mergeCells count="4">
    <mergeCell ref="D3:F3"/>
    <mergeCell ref="B16:B17"/>
    <mergeCell ref="C16:C17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2024-12-20T14:48:22Z</dcterms:created>
  <dcterms:modified xsi:type="dcterms:W3CDTF">2025-11-15T03:36:53Z</dcterms:modified>
  <cp:category/>
  <cp:contentStatus/>
</cp:coreProperties>
</file>